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5e4f0f07ac9838/Desktop/R_Projects/CCR_preliminary/Inflow/"/>
    </mc:Choice>
  </mc:AlternateContent>
  <xr:revisionPtr revIDLastSave="0" documentId="8_{8EE6865A-8DB8-49C1-B1AB-248EF19AB9A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CR_VolumetricFlow_discharge_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H35" i="1"/>
  <c r="G35" i="1"/>
  <c r="F34" i="1"/>
  <c r="F35" i="1"/>
  <c r="F36" i="1"/>
  <c r="F37" i="1"/>
  <c r="F38" i="1"/>
  <c r="G32" i="1"/>
  <c r="G29" i="1"/>
  <c r="G26" i="1"/>
  <c r="F26" i="1"/>
  <c r="F27" i="1"/>
  <c r="F28" i="1"/>
  <c r="F29" i="1"/>
  <c r="F30" i="1"/>
  <c r="F31" i="1"/>
  <c r="F32" i="1"/>
  <c r="F33" i="1"/>
  <c r="H14" i="1"/>
  <c r="G23" i="1"/>
  <c r="G20" i="1"/>
  <c r="G17" i="1"/>
  <c r="G14" i="1"/>
  <c r="F14" i="1"/>
  <c r="F15" i="1"/>
  <c r="F16" i="1"/>
  <c r="F17" i="1"/>
  <c r="F18" i="1"/>
  <c r="F19" i="1"/>
  <c r="F20" i="1"/>
  <c r="F21" i="1"/>
  <c r="F22" i="1"/>
  <c r="F23" i="1"/>
  <c r="F24" i="1"/>
  <c r="F25" i="1"/>
  <c r="G9" i="1"/>
  <c r="G2" i="1"/>
  <c r="H2" i="1" s="1"/>
  <c r="F3" i="1"/>
  <c r="F4" i="1"/>
  <c r="F5" i="1"/>
  <c r="F6" i="1"/>
  <c r="G6" i="1" s="1"/>
  <c r="F7" i="1"/>
  <c r="F8" i="1"/>
  <c r="F9" i="1"/>
  <c r="F10" i="1"/>
  <c r="F11" i="1"/>
  <c r="G11" i="1" s="1"/>
  <c r="F12" i="1"/>
  <c r="F13" i="1"/>
  <c r="F2" i="1"/>
  <c r="H6" i="1" l="1"/>
</calcChain>
</file>

<file path=xl/sharedStrings.xml><?xml version="1.0" encoding="utf-8"?>
<sst xmlns="http://schemas.openxmlformats.org/spreadsheetml/2006/main" count="48" uniqueCount="19">
  <si>
    <t>Date</t>
  </si>
  <si>
    <t>Site</t>
  </si>
  <si>
    <t>Volume_L</t>
  </si>
  <si>
    <t>Time_sec</t>
  </si>
  <si>
    <t>Rep</t>
  </si>
  <si>
    <t>discharge_LperSec</t>
  </si>
  <si>
    <t>discharge_perSite_LperSec</t>
  </si>
  <si>
    <t>Discharge_Final_LperSec</t>
  </si>
  <si>
    <t>Notes</t>
  </si>
  <si>
    <t>TCT</t>
  </si>
  <si>
    <t>TCT_1</t>
  </si>
  <si>
    <t>TCT_2</t>
  </si>
  <si>
    <t>removed one rep from 2nd opening because reported in wrong units</t>
  </si>
  <si>
    <t>TCT_3</t>
  </si>
  <si>
    <t>CCT_6</t>
  </si>
  <si>
    <t>CCT_5</t>
  </si>
  <si>
    <t>CCT_4</t>
  </si>
  <si>
    <t>CCT_3</t>
  </si>
  <si>
    <t>Most flow from one opening, there was a small amount of unmeasurable flow from one 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</si>
</sst>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0" workbookViewId="0">
      <selection activeCell="H27" sqref="H27"/>
    </sheetView>
  </sheetViews>
  <sheetFormatPr defaultRowHeight="14.4" x14ac:dyDescent="0.3"/>
  <cols>
    <col min="1" max="1" width="14.6640625" bestFit="1" customWidth="1"/>
    <col min="6" max="6" width="16.109375" bestFit="1" customWidth="1"/>
    <col min="7" max="7" width="29" customWidth="1"/>
    <col min="8" max="8" width="2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44048.058333333334</v>
      </c>
      <c r="B2" t="s">
        <v>9</v>
      </c>
      <c r="C2">
        <v>10</v>
      </c>
      <c r="D2">
        <v>3</v>
      </c>
      <c r="E2">
        <v>1</v>
      </c>
      <c r="F2">
        <f>C2/D2</f>
        <v>3.3333333333333335</v>
      </c>
      <c r="G2">
        <f>AVERAGE(F2:F5)</f>
        <v>2.921122041631024</v>
      </c>
      <c r="H2">
        <f>G2</f>
        <v>2.921122041631024</v>
      </c>
    </row>
    <row r="3" spans="1:9" x14ac:dyDescent="0.3">
      <c r="A3" s="1">
        <v>44048.058333333334</v>
      </c>
      <c r="B3" t="s">
        <v>9</v>
      </c>
      <c r="C3">
        <v>10</v>
      </c>
      <c r="D3">
        <v>4</v>
      </c>
      <c r="E3">
        <v>2</v>
      </c>
      <c r="F3">
        <f t="shared" ref="F3:F38" si="0">C3/D3</f>
        <v>2.5</v>
      </c>
    </row>
    <row r="4" spans="1:9" x14ac:dyDescent="0.3">
      <c r="A4" s="1">
        <v>44048.058333333334</v>
      </c>
      <c r="B4" t="s">
        <v>9</v>
      </c>
      <c r="C4">
        <v>10</v>
      </c>
      <c r="D4">
        <v>3.5</v>
      </c>
      <c r="E4">
        <v>3</v>
      </c>
      <c r="F4">
        <f t="shared" si="0"/>
        <v>2.8571428571428572</v>
      </c>
    </row>
    <row r="5" spans="1:9" x14ac:dyDescent="0.3">
      <c r="A5" s="1">
        <v>44048.058333333334</v>
      </c>
      <c r="B5" t="s">
        <v>9</v>
      </c>
      <c r="C5">
        <v>10</v>
      </c>
      <c r="D5">
        <v>3.34</v>
      </c>
      <c r="E5">
        <v>4</v>
      </c>
      <c r="F5">
        <f t="shared" si="0"/>
        <v>2.9940119760479043</v>
      </c>
    </row>
    <row r="6" spans="1:9" x14ac:dyDescent="0.3">
      <c r="A6" s="1">
        <v>44062.643750000003</v>
      </c>
      <c r="B6" t="s">
        <v>10</v>
      </c>
      <c r="C6">
        <v>9</v>
      </c>
      <c r="D6">
        <v>12.1</v>
      </c>
      <c r="E6">
        <v>1</v>
      </c>
      <c r="F6">
        <f t="shared" si="0"/>
        <v>0.74380165289256206</v>
      </c>
      <c r="G6">
        <f>AVERAGE(F6:F8)</f>
        <v>0.69016320201714143</v>
      </c>
      <c r="H6">
        <f>G11+G9+G6</f>
        <v>2.8599009793451384</v>
      </c>
    </row>
    <row r="7" spans="1:9" x14ac:dyDescent="0.3">
      <c r="A7" s="1">
        <v>44062.643750000003</v>
      </c>
      <c r="B7" t="s">
        <v>10</v>
      </c>
      <c r="C7">
        <v>9</v>
      </c>
      <c r="D7">
        <v>13.17</v>
      </c>
      <c r="E7">
        <v>2</v>
      </c>
      <c r="F7">
        <f t="shared" si="0"/>
        <v>0.68337129840546695</v>
      </c>
    </row>
    <row r="8" spans="1:9" x14ac:dyDescent="0.3">
      <c r="A8" s="1">
        <v>44062.643750000003</v>
      </c>
      <c r="B8" t="s">
        <v>10</v>
      </c>
      <c r="C8">
        <v>9</v>
      </c>
      <c r="D8">
        <v>13.99</v>
      </c>
      <c r="E8">
        <v>3</v>
      </c>
      <c r="F8">
        <f t="shared" si="0"/>
        <v>0.64331665475339528</v>
      </c>
    </row>
    <row r="9" spans="1:9" x14ac:dyDescent="0.3">
      <c r="A9" s="1">
        <v>44062.643750000003</v>
      </c>
      <c r="B9" t="s">
        <v>11</v>
      </c>
      <c r="C9">
        <v>10</v>
      </c>
      <c r="D9">
        <v>14.37</v>
      </c>
      <c r="E9">
        <v>1</v>
      </c>
      <c r="F9">
        <f t="shared" si="0"/>
        <v>0.69589422407794022</v>
      </c>
      <c r="G9">
        <f>AVERAGE(F9:F10)</f>
        <v>0.65638867048052862</v>
      </c>
      <c r="I9" t="s">
        <v>12</v>
      </c>
    </row>
    <row r="10" spans="1:9" x14ac:dyDescent="0.3">
      <c r="A10" s="1">
        <v>44062.643750000003</v>
      </c>
      <c r="B10" t="s">
        <v>11</v>
      </c>
      <c r="C10">
        <v>9.5</v>
      </c>
      <c r="D10">
        <v>15.4</v>
      </c>
      <c r="E10">
        <v>2</v>
      </c>
      <c r="F10">
        <f t="shared" si="0"/>
        <v>0.61688311688311692</v>
      </c>
    </row>
    <row r="11" spans="1:9" x14ac:dyDescent="0.3">
      <c r="A11" s="1">
        <v>44062.643750000003</v>
      </c>
      <c r="B11" t="s">
        <v>13</v>
      </c>
      <c r="C11">
        <v>9</v>
      </c>
      <c r="D11">
        <v>5.65</v>
      </c>
      <c r="E11">
        <v>1</v>
      </c>
      <c r="F11">
        <f t="shared" si="0"/>
        <v>1.5929203539823007</v>
      </c>
      <c r="G11">
        <f>AVERAGE(F11:F13)</f>
        <v>1.5133491068474683</v>
      </c>
    </row>
    <row r="12" spans="1:9" x14ac:dyDescent="0.3">
      <c r="A12" s="1">
        <v>44062.643750000003</v>
      </c>
      <c r="B12" t="s">
        <v>13</v>
      </c>
      <c r="C12">
        <v>9</v>
      </c>
      <c r="D12">
        <v>6.23</v>
      </c>
      <c r="E12">
        <v>2</v>
      </c>
      <c r="F12">
        <f t="shared" si="0"/>
        <v>1.4446227929373996</v>
      </c>
    </row>
    <row r="13" spans="1:9" x14ac:dyDescent="0.3">
      <c r="A13" s="1">
        <v>44062.643750000003</v>
      </c>
      <c r="B13" t="s">
        <v>13</v>
      </c>
      <c r="C13">
        <v>9</v>
      </c>
      <c r="D13">
        <v>5.99</v>
      </c>
      <c r="E13">
        <v>3</v>
      </c>
      <c r="F13">
        <f t="shared" si="0"/>
        <v>1.5025041736227045</v>
      </c>
    </row>
    <row r="14" spans="1:9" x14ac:dyDescent="0.3">
      <c r="A14" s="1">
        <v>44097.5</v>
      </c>
      <c r="B14" t="s">
        <v>14</v>
      </c>
      <c r="C14">
        <v>8.5</v>
      </c>
      <c r="D14">
        <v>13.53</v>
      </c>
      <c r="E14">
        <v>1</v>
      </c>
      <c r="F14">
        <f t="shared" si="0"/>
        <v>0.62823355506282341</v>
      </c>
      <c r="G14">
        <f>AVERAGE(F14:F16)</f>
        <v>0.62768917982147421</v>
      </c>
      <c r="H14">
        <f>G14+G17+G20+G23</f>
        <v>0.92460209611250044</v>
      </c>
    </row>
    <row r="15" spans="1:9" x14ac:dyDescent="0.3">
      <c r="A15" s="1">
        <v>44097.5</v>
      </c>
      <c r="B15" t="s">
        <v>14</v>
      </c>
      <c r="C15">
        <v>8.5</v>
      </c>
      <c r="D15">
        <v>13.73</v>
      </c>
      <c r="E15">
        <v>2</v>
      </c>
      <c r="F15">
        <f t="shared" si="0"/>
        <v>0.61908230152949739</v>
      </c>
    </row>
    <row r="16" spans="1:9" x14ac:dyDescent="0.3">
      <c r="A16" s="1">
        <v>44097.5</v>
      </c>
      <c r="B16" t="s">
        <v>14</v>
      </c>
      <c r="C16">
        <v>8.5</v>
      </c>
      <c r="D16">
        <v>13.37</v>
      </c>
      <c r="E16">
        <v>3</v>
      </c>
      <c r="F16">
        <f t="shared" si="0"/>
        <v>0.63575168287210171</v>
      </c>
    </row>
    <row r="17" spans="1:8" x14ac:dyDescent="0.3">
      <c r="A17" s="1">
        <v>44097.5</v>
      </c>
      <c r="B17" t="s">
        <v>15</v>
      </c>
      <c r="C17">
        <v>1.3</v>
      </c>
      <c r="D17">
        <v>23.07</v>
      </c>
      <c r="E17">
        <v>1</v>
      </c>
      <c r="F17">
        <f t="shared" si="0"/>
        <v>5.6350238404854792E-2</v>
      </c>
      <c r="G17">
        <f>AVERAGE(F17:F19)</f>
        <v>0.10884065504036496</v>
      </c>
    </row>
    <row r="18" spans="1:8" x14ac:dyDescent="0.3">
      <c r="A18" s="1">
        <v>44097.5</v>
      </c>
      <c r="B18" t="s">
        <v>15</v>
      </c>
      <c r="C18">
        <v>2.2999999999999998</v>
      </c>
      <c r="D18">
        <v>23.23</v>
      </c>
      <c r="E18">
        <v>2</v>
      </c>
      <c r="F18">
        <f t="shared" si="0"/>
        <v>9.9009900990099001E-2</v>
      </c>
    </row>
    <row r="19" spans="1:8" x14ac:dyDescent="0.3">
      <c r="A19" s="1">
        <v>44097.5</v>
      </c>
      <c r="B19" t="s">
        <v>15</v>
      </c>
      <c r="C19">
        <v>3.3</v>
      </c>
      <c r="D19">
        <v>19.28</v>
      </c>
      <c r="E19">
        <v>3</v>
      </c>
      <c r="F19">
        <f t="shared" si="0"/>
        <v>0.17116182572614105</v>
      </c>
    </row>
    <row r="20" spans="1:8" x14ac:dyDescent="0.3">
      <c r="A20" s="1">
        <v>44097.5</v>
      </c>
      <c r="B20" t="s">
        <v>16</v>
      </c>
      <c r="C20">
        <v>1.2</v>
      </c>
      <c r="D20">
        <v>21.12</v>
      </c>
      <c r="E20">
        <v>1</v>
      </c>
      <c r="F20">
        <f t="shared" si="0"/>
        <v>5.6818181818181816E-2</v>
      </c>
      <c r="G20">
        <f>AVERAGE(F20:F22)</f>
        <v>8.7221310879931416E-2</v>
      </c>
    </row>
    <row r="21" spans="1:8" x14ac:dyDescent="0.3">
      <c r="A21" s="1">
        <v>44097.5</v>
      </c>
      <c r="B21" t="s">
        <v>16</v>
      </c>
      <c r="C21">
        <v>2.2000000000000002</v>
      </c>
      <c r="D21">
        <v>22.17</v>
      </c>
      <c r="E21">
        <v>2</v>
      </c>
      <c r="F21">
        <f t="shared" si="0"/>
        <v>9.9233198015336047E-2</v>
      </c>
    </row>
    <row r="22" spans="1:8" x14ac:dyDescent="0.3">
      <c r="A22" s="1">
        <v>44097.5</v>
      </c>
      <c r="B22" t="s">
        <v>16</v>
      </c>
      <c r="C22">
        <v>1.75</v>
      </c>
      <c r="D22">
        <v>16.57</v>
      </c>
      <c r="E22">
        <v>3</v>
      </c>
      <c r="F22">
        <f t="shared" si="0"/>
        <v>0.10561255280627641</v>
      </c>
    </row>
    <row r="23" spans="1:8" x14ac:dyDescent="0.3">
      <c r="A23" s="1">
        <v>44097.5</v>
      </c>
      <c r="B23" t="s">
        <v>17</v>
      </c>
      <c r="C23">
        <v>2</v>
      </c>
      <c r="D23">
        <v>14.74</v>
      </c>
      <c r="E23">
        <v>1</v>
      </c>
      <c r="F23">
        <f t="shared" si="0"/>
        <v>0.13568521031207598</v>
      </c>
      <c r="G23">
        <f>AVERAGE(F23:F25)</f>
        <v>0.10085095037072982</v>
      </c>
    </row>
    <row r="24" spans="1:8" x14ac:dyDescent="0.3">
      <c r="A24" s="1">
        <v>44097.5</v>
      </c>
      <c r="B24" t="s">
        <v>17</v>
      </c>
      <c r="C24">
        <v>2.25</v>
      </c>
      <c r="D24">
        <v>22.26</v>
      </c>
      <c r="E24">
        <v>2</v>
      </c>
      <c r="F24">
        <f t="shared" si="0"/>
        <v>0.10107816711590296</v>
      </c>
    </row>
    <row r="25" spans="1:8" x14ac:dyDescent="0.3">
      <c r="A25" s="1">
        <v>44097.5</v>
      </c>
      <c r="B25" t="s">
        <v>17</v>
      </c>
      <c r="C25">
        <v>2</v>
      </c>
      <c r="D25">
        <v>30.4</v>
      </c>
      <c r="E25">
        <v>3</v>
      </c>
      <c r="F25">
        <f t="shared" si="0"/>
        <v>6.5789473684210523E-2</v>
      </c>
    </row>
    <row r="26" spans="1:8" x14ac:dyDescent="0.3">
      <c r="A26" s="1">
        <v>44097.5</v>
      </c>
      <c r="B26" t="s">
        <v>10</v>
      </c>
      <c r="C26">
        <v>8</v>
      </c>
      <c r="D26">
        <v>5.48</v>
      </c>
      <c r="E26">
        <v>1</v>
      </c>
      <c r="F26">
        <f t="shared" si="0"/>
        <v>1.4598540145985401</v>
      </c>
      <c r="G26">
        <f>AVERAGE(F26:F28)</f>
        <v>1.4863135052995062</v>
      </c>
      <c r="H26">
        <f>G26+G29+G32</f>
        <v>3.8409351973906114</v>
      </c>
    </row>
    <row r="27" spans="1:8" x14ac:dyDescent="0.3">
      <c r="A27" s="1">
        <v>44097.5</v>
      </c>
      <c r="B27" t="s">
        <v>10</v>
      </c>
      <c r="C27">
        <v>8</v>
      </c>
      <c r="D27">
        <v>5.35</v>
      </c>
      <c r="E27">
        <v>2</v>
      </c>
      <c r="F27">
        <f t="shared" si="0"/>
        <v>1.4953271028037385</v>
      </c>
    </row>
    <row r="28" spans="1:8" x14ac:dyDescent="0.3">
      <c r="A28" s="1">
        <v>44097.5</v>
      </c>
      <c r="B28" t="s">
        <v>10</v>
      </c>
      <c r="C28">
        <v>8</v>
      </c>
      <c r="D28">
        <v>5.32</v>
      </c>
      <c r="E28">
        <v>3</v>
      </c>
      <c r="F28">
        <f t="shared" si="0"/>
        <v>1.5037593984962405</v>
      </c>
    </row>
    <row r="29" spans="1:8" x14ac:dyDescent="0.3">
      <c r="A29" s="1">
        <v>44097.5</v>
      </c>
      <c r="B29" t="s">
        <v>11</v>
      </c>
      <c r="C29">
        <v>7</v>
      </c>
      <c r="D29">
        <v>4.8899999999999997</v>
      </c>
      <c r="E29">
        <v>1</v>
      </c>
      <c r="F29">
        <f t="shared" si="0"/>
        <v>1.4314928425357873</v>
      </c>
      <c r="G29">
        <f>AVERAGE(F29:F31)</f>
        <v>1.5055826363076432</v>
      </c>
    </row>
    <row r="30" spans="1:8" x14ac:dyDescent="0.3">
      <c r="A30" s="1">
        <v>44097.5</v>
      </c>
      <c r="B30" t="s">
        <v>11</v>
      </c>
      <c r="C30">
        <v>8</v>
      </c>
      <c r="D30">
        <v>5.4</v>
      </c>
      <c r="E30">
        <v>2</v>
      </c>
      <c r="F30">
        <f t="shared" si="0"/>
        <v>1.4814814814814814</v>
      </c>
    </row>
    <row r="31" spans="1:8" x14ac:dyDescent="0.3">
      <c r="A31" s="1">
        <v>44097.5</v>
      </c>
      <c r="B31" t="s">
        <v>11</v>
      </c>
      <c r="C31">
        <v>8.5</v>
      </c>
      <c r="D31">
        <v>5.3</v>
      </c>
      <c r="E31">
        <v>3</v>
      </c>
      <c r="F31">
        <f t="shared" si="0"/>
        <v>1.6037735849056605</v>
      </c>
    </row>
    <row r="32" spans="1:8" x14ac:dyDescent="0.3">
      <c r="A32" s="1">
        <v>44097.5</v>
      </c>
      <c r="B32" t="s">
        <v>13</v>
      </c>
      <c r="C32">
        <v>7</v>
      </c>
      <c r="D32">
        <v>7.98</v>
      </c>
      <c r="E32">
        <v>1</v>
      </c>
      <c r="F32">
        <f t="shared" si="0"/>
        <v>0.8771929824561403</v>
      </c>
      <c r="G32">
        <f>AVERAGE(F32:F34)</f>
        <v>0.84903905578346173</v>
      </c>
    </row>
    <row r="33" spans="1:9" x14ac:dyDescent="0.3">
      <c r="A33" s="1">
        <v>44097.5</v>
      </c>
      <c r="B33" t="s">
        <v>13</v>
      </c>
      <c r="C33">
        <v>8</v>
      </c>
      <c r="D33">
        <v>9.6199999999999992</v>
      </c>
      <c r="E33">
        <v>2</v>
      </c>
      <c r="F33">
        <f t="shared" si="0"/>
        <v>0.83160083160083165</v>
      </c>
    </row>
    <row r="34" spans="1:9" x14ac:dyDescent="0.3">
      <c r="A34" s="1">
        <v>44097.5</v>
      </c>
      <c r="B34" t="s">
        <v>13</v>
      </c>
      <c r="C34">
        <v>7</v>
      </c>
      <c r="D34">
        <v>8.35</v>
      </c>
      <c r="E34">
        <v>3</v>
      </c>
      <c r="F34">
        <f t="shared" si="0"/>
        <v>0.83832335329341323</v>
      </c>
    </row>
    <row r="35" spans="1:9" x14ac:dyDescent="0.3">
      <c r="A35" s="1">
        <v>44390.509722222225</v>
      </c>
      <c r="B35" t="s">
        <v>10</v>
      </c>
      <c r="C35">
        <v>10</v>
      </c>
      <c r="D35">
        <v>3.81</v>
      </c>
      <c r="E35">
        <v>1</v>
      </c>
      <c r="F35">
        <f t="shared" si="0"/>
        <v>2.6246719160104988</v>
      </c>
      <c r="G35">
        <f>AVERAGE(F35:F38)</f>
        <v>2.6804338501741247</v>
      </c>
      <c r="H35">
        <f>G35</f>
        <v>2.6804338501741247</v>
      </c>
      <c r="I35" t="s">
        <v>18</v>
      </c>
    </row>
    <row r="36" spans="1:9" x14ac:dyDescent="0.3">
      <c r="A36" s="1">
        <v>44390.509722222225</v>
      </c>
      <c r="B36" t="s">
        <v>10</v>
      </c>
      <c r="C36">
        <v>11</v>
      </c>
      <c r="D36">
        <v>3.97</v>
      </c>
      <c r="E36">
        <v>2</v>
      </c>
      <c r="F36">
        <f t="shared" si="0"/>
        <v>2.7707808564231735</v>
      </c>
    </row>
    <row r="37" spans="1:9" x14ac:dyDescent="0.3">
      <c r="A37" s="1">
        <v>44390.509722222225</v>
      </c>
      <c r="B37" t="s">
        <v>10</v>
      </c>
      <c r="C37">
        <v>10.5</v>
      </c>
      <c r="D37">
        <v>4.04</v>
      </c>
      <c r="E37">
        <v>3</v>
      </c>
      <c r="F37">
        <f t="shared" si="0"/>
        <v>2.5990099009900991</v>
      </c>
    </row>
    <row r="38" spans="1:9" x14ac:dyDescent="0.3">
      <c r="A38" s="1">
        <v>44390.509722222225</v>
      </c>
      <c r="B38" t="s">
        <v>10</v>
      </c>
      <c r="C38">
        <v>10.5</v>
      </c>
      <c r="D38">
        <v>3.85</v>
      </c>
      <c r="E38">
        <v>4</v>
      </c>
      <c r="F38">
        <f t="shared" si="0"/>
        <v>2.7272727272727271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CCR_VolumetricFlow_discharge_da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Dexter Howard</cp:lastModifiedBy>
  <dcterms:created xsi:type="dcterms:W3CDTF">2020-08-25T17:27:30Z</dcterms:created>
  <dcterms:modified xsi:type="dcterms:W3CDTF">2021-07-22T01:29:24Z</dcterms:modified>
</cp:coreProperties>
</file>