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e4f0f07ac9838/Desktop/R_Projects/CCR_preliminary/Inflow/"/>
    </mc:Choice>
  </mc:AlternateContent>
  <xr:revisionPtr revIDLastSave="3" documentId="8_{80FF35ED-D009-459E-9174-B2E583B0C5AE}" xr6:coauthVersionLast="47" xr6:coauthVersionMax="47" xr10:uidLastSave="{678589AC-EEBF-4061-ACC3-5D10D7764B65}"/>
  <bookViews>
    <workbookView xWindow="35055" yWindow="3960" windowWidth="19530" windowHeight="8970" xr2:uid="{00000000-000D-0000-FFFF-FFFF00000000}"/>
  </bookViews>
  <sheets>
    <sheet name="CCR_VolumetricFlow_discharge_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2" i="1"/>
  <c r="H2" i="1" s="1"/>
  <c r="F3" i="1"/>
  <c r="F4" i="1"/>
  <c r="F5" i="1"/>
  <c r="F6" i="1"/>
  <c r="G6" i="1" s="1"/>
  <c r="F7" i="1"/>
  <c r="F8" i="1"/>
  <c r="F9" i="1"/>
  <c r="F10" i="1"/>
  <c r="F11" i="1"/>
  <c r="G11" i="1" s="1"/>
  <c r="F12" i="1"/>
  <c r="F13" i="1"/>
  <c r="F2" i="1"/>
  <c r="H6" i="1" l="1"/>
</calcChain>
</file>

<file path=xl/sharedStrings.xml><?xml version="1.0" encoding="utf-8"?>
<sst xmlns="http://schemas.openxmlformats.org/spreadsheetml/2006/main" count="22" uniqueCount="14">
  <si>
    <t>Date</t>
  </si>
  <si>
    <t>Site</t>
  </si>
  <si>
    <t>Volume_L</t>
  </si>
  <si>
    <t>Time_sec</t>
  </si>
  <si>
    <t>Rep</t>
  </si>
  <si>
    <t>discharge_LperSec</t>
  </si>
  <si>
    <t>discharge_perSite_LperSec</t>
  </si>
  <si>
    <t>Discharge_Final_LperSec</t>
  </si>
  <si>
    <t>Notes</t>
  </si>
  <si>
    <t>TCT</t>
  </si>
  <si>
    <t>TCT_1</t>
  </si>
  <si>
    <t>TCT_2</t>
  </si>
  <si>
    <t>removed one rep from 2nd opening because reported in wrong units</t>
  </si>
  <si>
    <t>TCT_3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</si>
</sst>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G17" sqref="G17"/>
    </sheetView>
  </sheetViews>
  <sheetFormatPr defaultRowHeight="14.4" x14ac:dyDescent="0.3"/>
  <cols>
    <col min="1" max="1" width="14.6640625" bestFit="1" customWidth="1"/>
    <col min="6" max="6" width="16.109375" bestFit="1" customWidth="1"/>
    <col min="7" max="7" width="23" bestFit="1" customWidth="1"/>
    <col min="8" max="8" width="2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44048.058333333334</v>
      </c>
      <c r="B2" t="s">
        <v>9</v>
      </c>
      <c r="C2">
        <v>10</v>
      </c>
      <c r="D2">
        <v>3</v>
      </c>
      <c r="E2">
        <v>1</v>
      </c>
      <c r="F2">
        <f>C2/D2</f>
        <v>3.3333333333333335</v>
      </c>
      <c r="G2">
        <f>AVERAGE(F2:F5)</f>
        <v>2.921122041631024</v>
      </c>
      <c r="H2">
        <f>G2</f>
        <v>2.921122041631024</v>
      </c>
    </row>
    <row r="3" spans="1:9" x14ac:dyDescent="0.3">
      <c r="A3" s="1">
        <v>44048.058333333334</v>
      </c>
      <c r="B3" t="s">
        <v>9</v>
      </c>
      <c r="C3">
        <v>10</v>
      </c>
      <c r="D3">
        <v>4</v>
      </c>
      <c r="E3">
        <v>2</v>
      </c>
      <c r="F3">
        <f t="shared" ref="F3:F13" si="0">C3/D3</f>
        <v>2.5</v>
      </c>
    </row>
    <row r="4" spans="1:9" x14ac:dyDescent="0.3">
      <c r="A4" s="1">
        <v>44048.058333333334</v>
      </c>
      <c r="B4" t="s">
        <v>9</v>
      </c>
      <c r="C4">
        <v>10</v>
      </c>
      <c r="D4">
        <v>3.5</v>
      </c>
      <c r="E4">
        <v>3</v>
      </c>
      <c r="F4">
        <f t="shared" si="0"/>
        <v>2.8571428571428572</v>
      </c>
    </row>
    <row r="5" spans="1:9" x14ac:dyDescent="0.3">
      <c r="A5" s="1">
        <v>44048.058333333334</v>
      </c>
      <c r="B5" t="s">
        <v>9</v>
      </c>
      <c r="C5">
        <v>10</v>
      </c>
      <c r="D5">
        <v>3.34</v>
      </c>
      <c r="E5">
        <v>4</v>
      </c>
      <c r="F5">
        <f t="shared" si="0"/>
        <v>2.9940119760479043</v>
      </c>
    </row>
    <row r="6" spans="1:9" x14ac:dyDescent="0.3">
      <c r="A6" s="1">
        <v>44062.643750000003</v>
      </c>
      <c r="B6" t="s">
        <v>10</v>
      </c>
      <c r="C6">
        <v>9</v>
      </c>
      <c r="D6">
        <v>12.1</v>
      </c>
      <c r="E6">
        <v>1</v>
      </c>
      <c r="F6">
        <f t="shared" si="0"/>
        <v>0.74380165289256206</v>
      </c>
      <c r="G6">
        <f>AVERAGE(F6:F8)</f>
        <v>0.69016320201714143</v>
      </c>
      <c r="H6">
        <f>G11+G9+G6</f>
        <v>2.8599009793451384</v>
      </c>
    </row>
    <row r="7" spans="1:9" x14ac:dyDescent="0.3">
      <c r="A7" s="1">
        <v>44062.643750000003</v>
      </c>
      <c r="B7" t="s">
        <v>10</v>
      </c>
      <c r="C7">
        <v>9</v>
      </c>
      <c r="D7">
        <v>13.17</v>
      </c>
      <c r="E7">
        <v>2</v>
      </c>
      <c r="F7">
        <f t="shared" si="0"/>
        <v>0.68337129840546695</v>
      </c>
    </row>
    <row r="8" spans="1:9" x14ac:dyDescent="0.3">
      <c r="A8" s="1">
        <v>44062.643750000003</v>
      </c>
      <c r="B8" t="s">
        <v>10</v>
      </c>
      <c r="C8">
        <v>9</v>
      </c>
      <c r="D8">
        <v>13.99</v>
      </c>
      <c r="E8">
        <v>3</v>
      </c>
      <c r="F8">
        <f t="shared" si="0"/>
        <v>0.64331665475339528</v>
      </c>
    </row>
    <row r="9" spans="1:9" x14ac:dyDescent="0.3">
      <c r="A9" s="1">
        <v>44062.643750000003</v>
      </c>
      <c r="B9" t="s">
        <v>11</v>
      </c>
      <c r="C9">
        <v>10</v>
      </c>
      <c r="D9">
        <v>14.37</v>
      </c>
      <c r="E9">
        <v>1</v>
      </c>
      <c r="F9">
        <f t="shared" si="0"/>
        <v>0.69589422407794022</v>
      </c>
      <c r="G9">
        <f>AVERAGE(F9:F10)</f>
        <v>0.65638867048052862</v>
      </c>
      <c r="I9" t="s">
        <v>12</v>
      </c>
    </row>
    <row r="10" spans="1:9" x14ac:dyDescent="0.3">
      <c r="A10" s="1">
        <v>44062.643750000003</v>
      </c>
      <c r="B10" t="s">
        <v>11</v>
      </c>
      <c r="C10">
        <v>9.5</v>
      </c>
      <c r="D10">
        <v>15.4</v>
      </c>
      <c r="E10">
        <v>2</v>
      </c>
      <c r="F10">
        <f t="shared" si="0"/>
        <v>0.61688311688311692</v>
      </c>
    </row>
    <row r="11" spans="1:9" x14ac:dyDescent="0.3">
      <c r="A11" s="1">
        <v>44062.643750000003</v>
      </c>
      <c r="B11" t="s">
        <v>13</v>
      </c>
      <c r="C11">
        <v>9</v>
      </c>
      <c r="D11">
        <v>5.65</v>
      </c>
      <c r="E11">
        <v>1</v>
      </c>
      <c r="F11">
        <f t="shared" si="0"/>
        <v>1.5929203539823007</v>
      </c>
      <c r="G11">
        <f>AVERAGE(F11:F13)</f>
        <v>1.5133491068474683</v>
      </c>
    </row>
    <row r="12" spans="1:9" x14ac:dyDescent="0.3">
      <c r="A12" s="1">
        <v>44062.643750000003</v>
      </c>
      <c r="B12" t="s">
        <v>13</v>
      </c>
      <c r="C12">
        <v>9</v>
      </c>
      <c r="D12">
        <v>6.23</v>
      </c>
      <c r="E12">
        <v>2</v>
      </c>
      <c r="F12">
        <f t="shared" si="0"/>
        <v>1.4446227929373996</v>
      </c>
    </row>
    <row r="13" spans="1:9" x14ac:dyDescent="0.3">
      <c r="A13" s="1">
        <v>44062.643750000003</v>
      </c>
      <c r="B13" t="s">
        <v>13</v>
      </c>
      <c r="C13">
        <v>9</v>
      </c>
      <c r="D13">
        <v>5.99</v>
      </c>
      <c r="E13">
        <v>3</v>
      </c>
      <c r="F13">
        <f t="shared" si="0"/>
        <v>1.5025041736227045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CCR_VolumetricFlow_discharge_da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 Howard</cp:lastModifiedBy>
  <dcterms:created xsi:type="dcterms:W3CDTF">2020-08-25T17:27:30Z</dcterms:created>
  <dcterms:modified xsi:type="dcterms:W3CDTF">2021-07-22T01:18:43Z</dcterms:modified>
</cp:coreProperties>
</file>